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de of Accounts" sheetId="1" state="visible" r:id="rId3"/>
    <sheet name="Assumptions" sheetId="2" state="visible" r:id="rId4"/>
    <sheet name="3-Year Summary" sheetId="3" state="visible" r:id="rId5"/>
    <sheet name="Year 1 Monthl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<sst xmlns="http://schemas.openxmlformats.org/spreadsheetml/2006/main" count="317" uniqueCount="192">
  <si>
    <t xml:space="preserve">Code</t>
  </si>
  <si>
    <t xml:space="preserve">Level</t>
  </si>
  <si>
    <t xml:space="preserve">Category</t>
  </si>
  <si>
    <t xml:space="preserve">Sub-Category</t>
  </si>
  <si>
    <t xml:space="preserve">Description</t>
  </si>
  <si>
    <t xml:space="preserve">Milestone Alignment</t>
  </si>
  <si>
    <t xml:space="preserve">1000</t>
  </si>
  <si>
    <t xml:space="preserve">1</t>
  </si>
  <si>
    <t xml:space="preserve">PERSONNEL</t>
  </si>
  <si>
    <t xml:space="preserve">All human capital costs</t>
  </si>
  <si>
    <t xml:space="preserve">1100</t>
  </si>
  <si>
    <t xml:space="preserve">2</t>
  </si>
  <si>
    <t xml:space="preserve">Executive</t>
  </si>
  <si>
    <t xml:space="preserve">Founder compensation</t>
  </si>
  <si>
    <t xml:space="preserve">M5 (Ops)</t>
  </si>
  <si>
    <t xml:space="preserve">1110</t>
  </si>
  <si>
    <t xml:space="preserve">3</t>
  </si>
  <si>
    <t xml:space="preserve">CEO Salary/Draw</t>
  </si>
  <si>
    <t xml:space="preserve">1120</t>
  </si>
  <si>
    <t xml:space="preserve">CTO Salary/Draw</t>
  </si>
  <si>
    <t xml:space="preserve">1200</t>
  </si>
  <si>
    <t xml:space="preserve">Technical Staff</t>
  </si>
  <si>
    <t xml:space="preserve">Engineering and domain experts</t>
  </si>
  <si>
    <t xml:space="preserve">M1/M3</t>
  </si>
  <si>
    <t xml:space="preserve">1210</t>
  </si>
  <si>
    <t xml:space="preserve">Sr. Energy Trader</t>
  </si>
  <si>
    <t xml:space="preserve">M3 (Pilots)</t>
  </si>
  <si>
    <t xml:space="preserve">1220</t>
  </si>
  <si>
    <t xml:space="preserve">Sr. Cyber Security</t>
  </si>
  <si>
    <t xml:space="preserve">M4 (Compliance)</t>
  </si>
  <si>
    <t xml:space="preserve">1230</t>
  </si>
  <si>
    <t xml:space="preserve">Computer Scientist</t>
  </si>
  <si>
    <t xml:space="preserve">M1 (Model)</t>
  </si>
  <si>
    <t xml:space="preserve">1300</t>
  </si>
  <si>
    <t xml:space="preserve">Finance Staff</t>
  </si>
  <si>
    <t xml:space="preserve">Financial operations</t>
  </si>
  <si>
    <t xml:space="preserve">1310</t>
  </si>
  <si>
    <t xml:space="preserve">Fractional CFO</t>
  </si>
  <si>
    <t xml:space="preserve">1320</t>
  </si>
  <si>
    <t xml:space="preserve">Controller</t>
  </si>
  <si>
    <t xml:space="preserve">2000</t>
  </si>
  <si>
    <t xml:space="preserve">MODEL DEVELOPMENT</t>
  </si>
  <si>
    <t xml:space="preserve">AI/ML infrastructure costs</t>
  </si>
  <si>
    <t xml:space="preserve">M1</t>
  </si>
  <si>
    <t xml:space="preserve">2110</t>
  </si>
  <si>
    <t xml:space="preserve">Cloud Compute (AWS)</t>
  </si>
  <si>
    <t xml:space="preserve">2120</t>
  </si>
  <si>
    <t xml:space="preserve">ML Infrastructure &amp; Tools</t>
  </si>
  <si>
    <t xml:space="preserve">3000</t>
  </si>
  <si>
    <t xml:space="preserve">DATA ACQUISITION</t>
  </si>
  <si>
    <t xml:space="preserve">Market and weather data</t>
  </si>
  <si>
    <t xml:space="preserve">M2</t>
  </si>
  <si>
    <t xml:space="preserve">3110</t>
  </si>
  <si>
    <t xml:space="preserve">ERCOT Market Data</t>
  </si>
  <si>
    <t xml:space="preserve">M2 (Data)</t>
  </si>
  <si>
    <t xml:space="preserve">3120</t>
  </si>
  <si>
    <t xml:space="preserve">Weather Data</t>
  </si>
  <si>
    <t xml:space="preserve">3130</t>
  </si>
  <si>
    <t xml:space="preserve">Third-Party Feeds</t>
  </si>
  <si>
    <t xml:space="preserve">4000</t>
  </si>
  <si>
    <t xml:space="preserve">PILOTS / CUSTOMER SUCCESS</t>
  </si>
  <si>
    <t xml:space="preserve">Business development costs</t>
  </si>
  <si>
    <t xml:space="preserve">M3</t>
  </si>
  <si>
    <t xml:space="preserve">4110</t>
  </si>
  <si>
    <t xml:space="preserve">Pilot Infrastructure</t>
  </si>
  <si>
    <t xml:space="preserve">4120</t>
  </si>
  <si>
    <t xml:space="preserve">Integration &amp; Testing</t>
  </si>
  <si>
    <t xml:space="preserve">4130</t>
  </si>
  <si>
    <t xml:space="preserve">Travel &amp; Conferences</t>
  </si>
  <si>
    <t xml:space="preserve">5000</t>
  </si>
  <si>
    <t xml:space="preserve">COMPLIANCE &amp; SECURITY</t>
  </si>
  <si>
    <t xml:space="preserve">Certifications and audits</t>
  </si>
  <si>
    <t xml:space="preserve">M4</t>
  </si>
  <si>
    <t xml:space="preserve">5110</t>
  </si>
  <si>
    <t xml:space="preserve">SOC 2 Type II</t>
  </si>
  <si>
    <t xml:space="preserve">5120</t>
  </si>
  <si>
    <t xml:space="preserve">ISO 27001 Gap Analysis</t>
  </si>
  <si>
    <t xml:space="preserve">5130</t>
  </si>
  <si>
    <t xml:space="preserve">NERC CIP Awareness</t>
  </si>
  <si>
    <t xml:space="preserve">6000</t>
  </si>
  <si>
    <t xml:space="preserve">G&amp;A OPERATIONS</t>
  </si>
  <si>
    <t xml:space="preserve">General and administrative</t>
  </si>
  <si>
    <t xml:space="preserve">M5</t>
  </si>
  <si>
    <t xml:space="preserve">6110</t>
  </si>
  <si>
    <t xml:space="preserve">Legal</t>
  </si>
  <si>
    <t xml:space="preserve">6120</t>
  </si>
  <si>
    <t xml:space="preserve">Accounting</t>
  </si>
  <si>
    <t xml:space="preserve">6130</t>
  </si>
  <si>
    <t xml:space="preserve">Taxes &amp; Filings</t>
  </si>
  <si>
    <t xml:space="preserve">6140</t>
  </si>
  <si>
    <t xml:space="preserve">Treasury &amp; Admin</t>
  </si>
  <si>
    <t xml:space="preserve">6150</t>
  </si>
  <si>
    <t xml:space="preserve">Insurance</t>
  </si>
  <si>
    <t xml:space="preserve">7000</t>
  </si>
  <si>
    <t xml:space="preserve">CONTINGENCY</t>
  </si>
  <si>
    <t xml:space="preserve">Operating reserve</t>
  </si>
  <si>
    <t xml:space="preserve">7110</t>
  </si>
  <si>
    <t xml:space="preserve">Contingency Reserve (10%)</t>
  </si>
  <si>
    <t xml:space="preserve">FG-GPT 3-YEAR BUDGET MODEL</t>
  </si>
  <si>
    <t xml:space="preserve">Assumptions &amp; Inputs</t>
  </si>
  <si>
    <t xml:space="preserve">FUNDING</t>
  </si>
  <si>
    <t xml:space="preserve">Pre-Seed Raise</t>
  </si>
  <si>
    <t xml:space="preserve">Source: SAFE (Post-Money)</t>
  </si>
  <si>
    <t xml:space="preserve">Committed (ALCON)</t>
  </si>
  <si>
    <t xml:space="preserve">PERSONNEL - BASE SALARIES</t>
  </si>
  <si>
    <t xml:space="preserve">CEO (Monthly)</t>
  </si>
  <si>
    <t xml:space="preserve">Founder draw</t>
  </si>
  <si>
    <t xml:space="preserve">CTO (Monthly)</t>
  </si>
  <si>
    <t xml:space="preserve">Sr. Energy Trader (Annual)</t>
  </si>
  <si>
    <t xml:space="preserve">Base + 1.25x benefits</t>
  </si>
  <si>
    <t xml:space="preserve">Sr. Cyber Security (Annual)</t>
  </si>
  <si>
    <t xml:space="preserve">Fractional CFO (Monthly)</t>
  </si>
  <si>
    <t xml:space="preserve">Contractor</t>
  </si>
  <si>
    <t xml:space="preserve">Controller (Annual)</t>
  </si>
  <si>
    <t xml:space="preserve">Computer Scientist (Annual)</t>
  </si>
  <si>
    <t xml:space="preserve">Benefits Multiplier (FTE)</t>
  </si>
  <si>
    <t xml:space="preserve">Health, payroll taxes, etc.</t>
  </si>
  <si>
    <t xml:space="preserve">SALARY ESCALATION TRIGGERS</t>
  </si>
  <si>
    <t xml:space="preserve">Role</t>
  </si>
  <si>
    <t xml:space="preserve">ARR Trigger</t>
  </si>
  <si>
    <t xml:space="preserve">New Salary</t>
  </si>
  <si>
    <t xml:space="preserve">Notes</t>
  </si>
  <si>
    <t xml:space="preserve">CEO</t>
  </si>
  <si>
    <t xml:space="preserve">$2.0M</t>
  </si>
  <si>
    <t xml:space="preserve">$100,000</t>
  </si>
  <si>
    <t xml:space="preserve">First increase</t>
  </si>
  <si>
    <t xml:space="preserve">$3.0M</t>
  </si>
  <si>
    <t xml:space="preserve">$200,000</t>
  </si>
  <si>
    <t xml:space="preserve">Market rate</t>
  </si>
  <si>
    <t xml:space="preserve">CTO</t>
  </si>
  <si>
    <t xml:space="preserve">$2.5M</t>
  </si>
  <si>
    <t xml:space="preserve">$200,000 + benefits</t>
  </si>
  <si>
    <t xml:space="preserve">OPERATING COSTS - YEAR 1 BASE</t>
  </si>
  <si>
    <t xml:space="preserve">Model Development (2000)</t>
  </si>
  <si>
    <t xml:space="preserve">Cloud compute</t>
  </si>
  <si>
    <t xml:space="preserve">Data Acquisition (3000)</t>
  </si>
  <si>
    <t xml:space="preserve">ERCOT, weather, third-party</t>
  </si>
  <si>
    <t xml:space="preserve">Pilots/Customer Success (4000)</t>
  </si>
  <si>
    <t xml:space="preserve">Infrastructure, integration, travel</t>
  </si>
  <si>
    <t xml:space="preserve">Compliance &amp; Security (5000)</t>
  </si>
  <si>
    <t xml:space="preserve">SOC 2, ISO 27001, NERC CIP</t>
  </si>
  <si>
    <t xml:space="preserve">G&amp;A Operations (6000)</t>
  </si>
  <si>
    <t xml:space="preserve">Legal, accounting, admin</t>
  </si>
  <si>
    <t xml:space="preserve">YEAR-OVER-YEAR SCALING FACTORS</t>
  </si>
  <si>
    <t xml:space="preserve">Yr1 to Yr2</t>
  </si>
  <si>
    <t xml:space="preserve">Yr2 to Yr3</t>
  </si>
  <si>
    <t xml:space="preserve">Compute scales with nodes</t>
  </si>
  <si>
    <t xml:space="preserve">Additional feeds</t>
  </si>
  <si>
    <t xml:space="preserve">Customer growth</t>
  </si>
  <si>
    <t xml:space="preserve">Major cert investment Yr2</t>
  </si>
  <si>
    <t xml:space="preserve">Flat Yr2, scales Yr3</t>
  </si>
  <si>
    <t xml:space="preserve">Contingency</t>
  </si>
  <si>
    <t xml:space="preserve">10% of subtotal</t>
  </si>
  <si>
    <t xml:space="preserve">FG-GPT 3-YEAR BUDGET SUMMARY</t>
  </si>
  <si>
    <t xml:space="preserve">By Code of Accounts</t>
  </si>
  <si>
    <t xml:space="preserve">Year 1</t>
  </si>
  <si>
    <t xml:space="preserve">Year 2</t>
  </si>
  <si>
    <t xml:space="preserve">Year 3</t>
  </si>
  <si>
    <t xml:space="preserve">3-Yr Total</t>
  </si>
  <si>
    <t xml:space="preserve">  CEO</t>
  </si>
  <si>
    <t xml:space="preserve">  CTO</t>
  </si>
  <si>
    <t xml:space="preserve">  Sr. Energy Trader</t>
  </si>
  <si>
    <t xml:space="preserve">  Sr. Cyber Security</t>
  </si>
  <si>
    <t xml:space="preserve">  Fractional CFO</t>
  </si>
  <si>
    <t xml:space="preserve">  Controller</t>
  </si>
  <si>
    <t xml:space="preserve">  Computer Scientist</t>
  </si>
  <si>
    <t xml:space="preserve">Personnel Subtotal</t>
  </si>
  <si>
    <t xml:space="preserve">Operating Subtotal</t>
  </si>
  <si>
    <t xml:space="preserve">SUBTOTAL (Personnel + Operating)</t>
  </si>
  <si>
    <t xml:space="preserve">CONTINGENCY (10%)</t>
  </si>
  <si>
    <t xml:space="preserve">TOTAL BUDGET</t>
  </si>
  <si>
    <t xml:space="preserve">KEY METRICS</t>
  </si>
  <si>
    <t xml:space="preserve">Metric</t>
  </si>
  <si>
    <t xml:space="preserve">Headcount (FTE equivalent)</t>
  </si>
  <si>
    <t xml:space="preserve">Monthly Burn Rate</t>
  </si>
  <si>
    <t xml:space="preserve">Cumulative Spend</t>
  </si>
  <si>
    <t xml:space="preserve">FG-GPT YEAR 1 MONTHLY CASHFLOW</t>
  </si>
  <si>
    <t xml:space="preserve">12-Month Detail by Code of Accounts</t>
  </si>
  <si>
    <t xml:space="preserve">Annual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</si>
  <si>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</si>
  <si>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</si>
  <si>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</si>
  <si>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</si>
  <si>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</si>
  <si>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</si>
  <si>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</si>
  <si>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Check</t>
  </si>
  <si>
    <t xml:space="preserve">PILOTS / CUST SUCCESS</t>
  </si>
  <si>
    <t xml:space="preserve">SUBTOTAL</t>
  </si>
  <si>
    <t xml:space="preserve">TOTAL MONTHLY SPEND</t>
  </si>
  <si>
    <t xml:space="preserve">CUMULATIVE SPEND</t>
  </si>
  <si>
    <t xml:space="preserve">CASH REMAINING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</si>
</sst>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0\x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A4A4A"/>
        <bgColor rgb="FF333300"/>
      </patternFill>
    </fill>
    <fill>
      <patternFill patternType="solid">
        <fgColor rgb="FFE0E0E0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A4A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25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/>
      <c r="E2" s="2" t="s">
        <v>9</v>
      </c>
      <c r="F2" s="2"/>
    </row>
    <row r="3" customFormat="false" ht="15" hidden="false" customHeight="false" outlineLevel="0" collapsed="false">
      <c r="A3" s="0" t="s">
        <v>10</v>
      </c>
      <c r="B3" s="0" t="s">
        <v>11</v>
      </c>
      <c r="D3" s="0" t="s">
        <v>12</v>
      </c>
      <c r="E3" s="0" t="s">
        <v>13</v>
      </c>
      <c r="F3" s="0" t="s">
        <v>14</v>
      </c>
    </row>
    <row r="4" customFormat="false" ht="15" hidden="false" customHeight="false" outlineLevel="0" collapsed="false">
      <c r="A4" s="0" t="s">
        <v>15</v>
      </c>
      <c r="B4" s="0" t="s">
        <v>16</v>
      </c>
      <c r="E4" s="0" t="s">
        <v>17</v>
      </c>
      <c r="F4" s="0" t="s">
        <v>14</v>
      </c>
    </row>
    <row r="5" customFormat="false" ht="15" hidden="false" customHeight="false" outlineLevel="0" collapsed="false">
      <c r="A5" s="0" t="s">
        <v>18</v>
      </c>
      <c r="B5" s="0" t="s">
        <v>16</v>
      </c>
      <c r="E5" s="0" t="s">
        <v>19</v>
      </c>
      <c r="F5" s="0" t="s">
        <v>14</v>
      </c>
    </row>
    <row r="6" customFormat="false" ht="15" hidden="false" customHeight="false" outlineLevel="0" collapsed="false">
      <c r="A6" s="0" t="s">
        <v>20</v>
      </c>
      <c r="B6" s="0" t="s">
        <v>11</v>
      </c>
      <c r="D6" s="0" t="s">
        <v>21</v>
      </c>
      <c r="E6" s="0" t="s">
        <v>22</v>
      </c>
      <c r="F6" s="0" t="s">
        <v>23</v>
      </c>
    </row>
    <row r="7" customFormat="false" ht="15" hidden="false" customHeight="false" outlineLevel="0" collapsed="false">
      <c r="A7" s="0" t="s">
        <v>24</v>
      </c>
      <c r="B7" s="0" t="s">
        <v>16</v>
      </c>
      <c r="E7" s="0" t="s">
        <v>25</v>
      </c>
      <c r="F7" s="0" t="s">
        <v>26</v>
      </c>
    </row>
    <row r="8" customFormat="false" ht="15" hidden="false" customHeight="false" outlineLevel="0" collapsed="false">
      <c r="A8" s="0" t="s">
        <v>27</v>
      </c>
      <c r="B8" s="0" t="s">
        <v>16</v>
      </c>
      <c r="E8" s="0" t="s">
        <v>28</v>
      </c>
      <c r="F8" s="0" t="s">
        <v>29</v>
      </c>
    </row>
    <row r="9" customFormat="false" ht="15" hidden="false" customHeight="false" outlineLevel="0" collapsed="false">
      <c r="A9" s="0" t="s">
        <v>30</v>
      </c>
      <c r="B9" s="0" t="s">
        <v>16</v>
      </c>
      <c r="E9" s="0" t="s">
        <v>31</v>
      </c>
      <c r="F9" s="0" t="s">
        <v>32</v>
      </c>
    </row>
    <row r="10" customFormat="false" ht="15" hidden="false" customHeight="false" outlineLevel="0" collapsed="false">
      <c r="A10" s="0" t="s">
        <v>33</v>
      </c>
      <c r="B10" s="0" t="s">
        <v>11</v>
      </c>
      <c r="D10" s="0" t="s">
        <v>34</v>
      </c>
      <c r="E10" s="0" t="s">
        <v>35</v>
      </c>
      <c r="F10" s="0" t="s">
        <v>14</v>
      </c>
    </row>
    <row r="11" customFormat="false" ht="15" hidden="false" customHeight="false" outlineLevel="0" collapsed="false">
      <c r="A11" s="0" t="s">
        <v>36</v>
      </c>
      <c r="B11" s="0" t="s">
        <v>16</v>
      </c>
      <c r="E11" s="0" t="s">
        <v>37</v>
      </c>
      <c r="F11" s="0" t="s">
        <v>14</v>
      </c>
    </row>
    <row r="12" customFormat="false" ht="15" hidden="false" customHeight="false" outlineLevel="0" collapsed="false">
      <c r="A12" s="0" t="s">
        <v>38</v>
      </c>
      <c r="B12" s="0" t="s">
        <v>16</v>
      </c>
      <c r="E12" s="0" t="s">
        <v>39</v>
      </c>
      <c r="F12" s="0" t="s">
        <v>14</v>
      </c>
    </row>
    <row r="13" customFormat="false" ht="15" hidden="false" customHeight="false" outlineLevel="0" collapsed="false">
      <c r="A13" s="2" t="s">
        <v>40</v>
      </c>
      <c r="B13" s="2" t="s">
        <v>7</v>
      </c>
      <c r="C13" s="2" t="s">
        <v>41</v>
      </c>
      <c r="D13" s="2"/>
      <c r="E13" s="2" t="s">
        <v>42</v>
      </c>
      <c r="F13" s="2" t="s">
        <v>43</v>
      </c>
    </row>
    <row r="14" customFormat="false" ht="15" hidden="false" customHeight="false" outlineLevel="0" collapsed="false">
      <c r="A14" s="0" t="s">
        <v>44</v>
      </c>
      <c r="B14" s="0" t="s">
        <v>16</v>
      </c>
      <c r="E14" s="0" t="s">
        <v>45</v>
      </c>
      <c r="F14" s="0" t="s">
        <v>32</v>
      </c>
    </row>
    <row r="15" customFormat="false" ht="15" hidden="false" customHeight="false" outlineLevel="0" collapsed="false">
      <c r="A15" s="0" t="s">
        <v>46</v>
      </c>
      <c r="B15" s="0" t="s">
        <v>16</v>
      </c>
      <c r="E15" s="0" t="s">
        <v>47</v>
      </c>
      <c r="F15" s="0" t="s">
        <v>32</v>
      </c>
    </row>
    <row r="16" customFormat="false" ht="15" hidden="false" customHeight="false" outlineLevel="0" collapsed="false">
      <c r="A16" s="2" t="s">
        <v>48</v>
      </c>
      <c r="B16" s="2" t="s">
        <v>7</v>
      </c>
      <c r="C16" s="2" t="s">
        <v>49</v>
      </c>
      <c r="D16" s="2"/>
      <c r="E16" s="2" t="s">
        <v>50</v>
      </c>
      <c r="F16" s="2" t="s">
        <v>51</v>
      </c>
    </row>
    <row r="17" customFormat="false" ht="15" hidden="false" customHeight="false" outlineLevel="0" collapsed="false">
      <c r="A17" s="0" t="s">
        <v>52</v>
      </c>
      <c r="B17" s="0" t="s">
        <v>16</v>
      </c>
      <c r="E17" s="0" t="s">
        <v>53</v>
      </c>
      <c r="F17" s="0" t="s">
        <v>54</v>
      </c>
    </row>
    <row r="18" customFormat="false" ht="15" hidden="false" customHeight="false" outlineLevel="0" collapsed="false">
      <c r="A18" s="0" t="s">
        <v>55</v>
      </c>
      <c r="B18" s="0" t="s">
        <v>16</v>
      </c>
      <c r="E18" s="0" t="s">
        <v>56</v>
      </c>
      <c r="F18" s="0" t="s">
        <v>54</v>
      </c>
    </row>
    <row r="19" customFormat="false" ht="15" hidden="false" customHeight="false" outlineLevel="0" collapsed="false">
      <c r="A19" s="0" t="s">
        <v>57</v>
      </c>
      <c r="B19" s="0" t="s">
        <v>16</v>
      </c>
      <c r="E19" s="0" t="s">
        <v>58</v>
      </c>
      <c r="F19" s="0" t="s">
        <v>54</v>
      </c>
    </row>
    <row r="20" customFormat="false" ht="15" hidden="false" customHeight="false" outlineLevel="0" collapsed="false">
      <c r="A20" s="2" t="s">
        <v>59</v>
      </c>
      <c r="B20" s="2" t="s">
        <v>7</v>
      </c>
      <c r="C20" s="2" t="s">
        <v>60</v>
      </c>
      <c r="D20" s="2"/>
      <c r="E20" s="2" t="s">
        <v>61</v>
      </c>
      <c r="F20" s="2" t="s">
        <v>62</v>
      </c>
    </row>
    <row r="21" customFormat="false" ht="15" hidden="false" customHeight="false" outlineLevel="0" collapsed="false">
      <c r="A21" s="0" t="s">
        <v>63</v>
      </c>
      <c r="B21" s="0" t="s">
        <v>16</v>
      </c>
      <c r="E21" s="0" t="s">
        <v>64</v>
      </c>
      <c r="F21" s="0" t="s">
        <v>26</v>
      </c>
    </row>
    <row r="22" customFormat="false" ht="15" hidden="false" customHeight="false" outlineLevel="0" collapsed="false">
      <c r="A22" s="0" t="s">
        <v>65</v>
      </c>
      <c r="B22" s="0" t="s">
        <v>16</v>
      </c>
      <c r="E22" s="0" t="s">
        <v>66</v>
      </c>
      <c r="F22" s="0" t="s">
        <v>26</v>
      </c>
    </row>
    <row r="23" customFormat="false" ht="15" hidden="false" customHeight="false" outlineLevel="0" collapsed="false">
      <c r="A23" s="0" t="s">
        <v>67</v>
      </c>
      <c r="B23" s="0" t="s">
        <v>16</v>
      </c>
      <c r="E23" s="0" t="s">
        <v>68</v>
      </c>
      <c r="F23" s="0" t="s">
        <v>26</v>
      </c>
    </row>
    <row r="24" customFormat="false" ht="15" hidden="false" customHeight="false" outlineLevel="0" collapsed="false">
      <c r="A24" s="2" t="s">
        <v>69</v>
      </c>
      <c r="B24" s="2" t="s">
        <v>7</v>
      </c>
      <c r="C24" s="2" t="s">
        <v>70</v>
      </c>
      <c r="D24" s="2"/>
      <c r="E24" s="2" t="s">
        <v>71</v>
      </c>
      <c r="F24" s="2" t="s">
        <v>72</v>
      </c>
    </row>
    <row r="25" customFormat="false" ht="15" hidden="false" customHeight="false" outlineLevel="0" collapsed="false">
      <c r="A25" s="0" t="s">
        <v>73</v>
      </c>
      <c r="B25" s="0" t="s">
        <v>16</v>
      </c>
      <c r="E25" s="0" t="s">
        <v>74</v>
      </c>
      <c r="F25" s="0" t="s">
        <v>29</v>
      </c>
    </row>
    <row r="26" customFormat="false" ht="15" hidden="false" customHeight="false" outlineLevel="0" collapsed="false">
      <c r="A26" s="0" t="s">
        <v>75</v>
      </c>
      <c r="B26" s="0" t="s">
        <v>16</v>
      </c>
      <c r="E26" s="0" t="s">
        <v>76</v>
      </c>
      <c r="F26" s="0" t="s">
        <v>29</v>
      </c>
    </row>
    <row r="27" customFormat="false" ht="15" hidden="false" customHeight="false" outlineLevel="0" collapsed="false">
      <c r="A27" s="0" t="s">
        <v>77</v>
      </c>
      <c r="B27" s="0" t="s">
        <v>16</v>
      </c>
      <c r="E27" s="0" t="s">
        <v>78</v>
      </c>
      <c r="F27" s="0" t="s">
        <v>29</v>
      </c>
    </row>
    <row r="28" customFormat="false" ht="15" hidden="false" customHeight="false" outlineLevel="0" collapsed="false">
      <c r="A28" s="2" t="s">
        <v>79</v>
      </c>
      <c r="B28" s="2" t="s">
        <v>7</v>
      </c>
      <c r="C28" s="2" t="s">
        <v>80</v>
      </c>
      <c r="D28" s="2"/>
      <c r="E28" s="2" t="s">
        <v>81</v>
      </c>
      <c r="F28" s="2" t="s">
        <v>82</v>
      </c>
    </row>
    <row r="29" customFormat="false" ht="15" hidden="false" customHeight="false" outlineLevel="0" collapsed="false">
      <c r="A29" s="0" t="s">
        <v>83</v>
      </c>
      <c r="B29" s="0" t="s">
        <v>16</v>
      </c>
      <c r="E29" s="0" t="s">
        <v>84</v>
      </c>
      <c r="F29" s="0" t="s">
        <v>14</v>
      </c>
    </row>
    <row r="30" customFormat="false" ht="15" hidden="false" customHeight="false" outlineLevel="0" collapsed="false">
      <c r="A30" s="0" t="s">
        <v>85</v>
      </c>
      <c r="B30" s="0" t="s">
        <v>16</v>
      </c>
      <c r="E30" s="0" t="s">
        <v>86</v>
      </c>
      <c r="F30" s="0" t="s">
        <v>14</v>
      </c>
    </row>
    <row r="31" customFormat="false" ht="15" hidden="false" customHeight="false" outlineLevel="0" collapsed="false">
      <c r="A31" s="0" t="s">
        <v>87</v>
      </c>
      <c r="B31" s="0" t="s">
        <v>16</v>
      </c>
      <c r="E31" s="0" t="s">
        <v>88</v>
      </c>
      <c r="F31" s="0" t="s">
        <v>14</v>
      </c>
    </row>
    <row r="32" customFormat="false" ht="15" hidden="false" customHeight="false" outlineLevel="0" collapsed="false">
      <c r="A32" s="0" t="s">
        <v>89</v>
      </c>
      <c r="B32" s="0" t="s">
        <v>16</v>
      </c>
      <c r="E32" s="0" t="s">
        <v>90</v>
      </c>
      <c r="F32" s="0" t="s">
        <v>14</v>
      </c>
    </row>
    <row r="33" customFormat="false" ht="15" hidden="false" customHeight="false" outlineLevel="0" collapsed="false">
      <c r="A33" s="0" t="s">
        <v>91</v>
      </c>
      <c r="B33" s="0" t="s">
        <v>16</v>
      </c>
      <c r="E33" s="0" t="s">
        <v>92</v>
      </c>
      <c r="F33" s="0" t="s">
        <v>14</v>
      </c>
    </row>
    <row r="34" customFormat="false" ht="15" hidden="false" customHeight="false" outlineLevel="0" collapsed="false">
      <c r="A34" s="2" t="s">
        <v>93</v>
      </c>
      <c r="B34" s="2" t="s">
        <v>7</v>
      </c>
      <c r="C34" s="2" t="s">
        <v>94</v>
      </c>
      <c r="D34" s="2"/>
      <c r="E34" s="2" t="s">
        <v>95</v>
      </c>
      <c r="F34" s="2"/>
    </row>
    <row r="35" customFormat="false" ht="15" hidden="false" customHeight="false" outlineLevel="0" collapsed="false">
      <c r="A35" s="0" t="s">
        <v>96</v>
      </c>
      <c r="B35" s="0" t="s">
        <v>16</v>
      </c>
      <c r="E35" s="0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4" min="3" style="0" width="25"/>
  </cols>
  <sheetData>
    <row r="1" customFormat="false" ht="17.35" hidden="false" customHeight="false" outlineLevel="0" collapsed="false">
      <c r="A1" s="3" t="s">
        <v>98</v>
      </c>
    </row>
    <row r="2" customFormat="false" ht="15" hidden="false" customHeight="false" outlineLevel="0" collapsed="false">
      <c r="A2" s="4" t="s">
        <v>99</v>
      </c>
    </row>
    <row r="4" customFormat="false" ht="15" hidden="false" customHeight="false" outlineLevel="0" collapsed="false">
      <c r="A4" s="5" t="s">
        <v>100</v>
      </c>
      <c r="B4" s="5"/>
      <c r="C4" s="5"/>
    </row>
    <row r="5" customFormat="false" ht="15" hidden="false" customHeight="false" outlineLevel="0" collapsed="false">
      <c r="A5" s="0" t="s">
        <v>101</v>
      </c>
      <c r="B5" s="6" t="n">
        <v>1000000</v>
      </c>
      <c r="C5" s="7" t="s">
        <v>102</v>
      </c>
    </row>
    <row r="6" customFormat="false" ht="15" hidden="false" customHeight="false" outlineLevel="0" collapsed="false">
      <c r="A6" s="0" t="s">
        <v>103</v>
      </c>
      <c r="B6" s="6" t="n">
        <v>20000</v>
      </c>
    </row>
    <row r="8" customFormat="false" ht="15" hidden="false" customHeight="false" outlineLevel="0" collapsed="false">
      <c r="A8" s="5" t="s">
        <v>104</v>
      </c>
      <c r="B8" s="5"/>
      <c r="C8" s="5"/>
    </row>
    <row r="9" customFormat="false" ht="15" hidden="false" customHeight="false" outlineLevel="0" collapsed="false">
      <c r="A9" s="0" t="s">
        <v>105</v>
      </c>
      <c r="B9" s="6" t="n">
        <v>5000</v>
      </c>
      <c r="C9" s="7" t="s">
        <v>106</v>
      </c>
    </row>
    <row r="10" customFormat="false" ht="15" hidden="false" customHeight="false" outlineLevel="0" collapsed="false">
      <c r="A10" s="0" t="s">
        <v>107</v>
      </c>
      <c r="B10" s="6" t="n">
        <v>5000</v>
      </c>
      <c r="C10" s="7" t="s">
        <v>106</v>
      </c>
    </row>
    <row r="11" customFormat="false" ht="15" hidden="false" customHeight="false" outlineLevel="0" collapsed="false">
      <c r="A11" s="0" t="s">
        <v>108</v>
      </c>
      <c r="B11" s="6" t="n">
        <v>150000</v>
      </c>
      <c r="C11" s="7" t="s">
        <v>109</v>
      </c>
    </row>
    <row r="12" customFormat="false" ht="15" hidden="false" customHeight="false" outlineLevel="0" collapsed="false">
      <c r="A12" s="0" t="s">
        <v>110</v>
      </c>
      <c r="B12" s="6" t="n">
        <v>150000</v>
      </c>
      <c r="C12" s="7" t="s">
        <v>109</v>
      </c>
    </row>
    <row r="13" customFormat="false" ht="15" hidden="false" customHeight="false" outlineLevel="0" collapsed="false">
      <c r="A13" s="0" t="s">
        <v>111</v>
      </c>
      <c r="B13" s="6" t="n">
        <v>6000</v>
      </c>
      <c r="C13" s="7" t="s">
        <v>112</v>
      </c>
    </row>
    <row r="14" customFormat="false" ht="15" hidden="false" customHeight="false" outlineLevel="0" collapsed="false">
      <c r="A14" s="0" t="s">
        <v>113</v>
      </c>
      <c r="B14" s="6" t="n">
        <v>130000</v>
      </c>
      <c r="C14" s="7" t="s">
        <v>109</v>
      </c>
    </row>
    <row r="15" customFormat="false" ht="15" hidden="false" customHeight="false" outlineLevel="0" collapsed="false">
      <c r="A15" s="0" t="s">
        <v>114</v>
      </c>
      <c r="B15" s="6" t="n">
        <v>160000</v>
      </c>
      <c r="C15" s="7" t="s">
        <v>109</v>
      </c>
    </row>
    <row r="16" customFormat="false" ht="15" hidden="false" customHeight="false" outlineLevel="0" collapsed="false">
      <c r="A16" s="0" t="s">
        <v>115</v>
      </c>
      <c r="B16" s="8" t="n">
        <v>1.25</v>
      </c>
      <c r="C16" s="7" t="s">
        <v>116</v>
      </c>
    </row>
    <row r="18" customFormat="false" ht="15" hidden="false" customHeight="false" outlineLevel="0" collapsed="false">
      <c r="A18" s="5" t="s">
        <v>117</v>
      </c>
      <c r="B18" s="5"/>
      <c r="C18" s="5"/>
      <c r="D18" s="5"/>
    </row>
    <row r="19" customFormat="false" ht="15" hidden="false" customHeight="false" outlineLevel="0" collapsed="false">
      <c r="A19" s="9" t="s">
        <v>118</v>
      </c>
      <c r="B19" s="9" t="s">
        <v>119</v>
      </c>
      <c r="C19" s="9" t="s">
        <v>120</v>
      </c>
      <c r="D19" s="9" t="s">
        <v>121</v>
      </c>
    </row>
    <row r="20" customFormat="false" ht="15" hidden="false" customHeight="false" outlineLevel="0" collapsed="false">
      <c r="A20" s="0" t="s">
        <v>122</v>
      </c>
      <c r="B20" s="0" t="s">
        <v>123</v>
      </c>
      <c r="C20" s="0" t="s">
        <v>124</v>
      </c>
      <c r="D20" s="0" t="s">
        <v>125</v>
      </c>
    </row>
    <row r="21" customFormat="false" ht="15" hidden="false" customHeight="false" outlineLevel="0" collapsed="false">
      <c r="A21" s="0" t="s">
        <v>122</v>
      </c>
      <c r="B21" s="0" t="s">
        <v>126</v>
      </c>
      <c r="C21" s="0" t="s">
        <v>127</v>
      </c>
      <c r="D21" s="0" t="s">
        <v>128</v>
      </c>
    </row>
    <row r="22" customFormat="false" ht="15" hidden="false" customHeight="false" outlineLevel="0" collapsed="false">
      <c r="A22" s="0" t="s">
        <v>129</v>
      </c>
      <c r="B22" s="0" t="s">
        <v>123</v>
      </c>
      <c r="C22" s="0" t="s">
        <v>124</v>
      </c>
      <c r="D22" s="0" t="s">
        <v>125</v>
      </c>
    </row>
    <row r="23" customFormat="false" ht="15" hidden="false" customHeight="false" outlineLevel="0" collapsed="false">
      <c r="A23" s="0" t="s">
        <v>129</v>
      </c>
      <c r="B23" s="0" t="s">
        <v>126</v>
      </c>
      <c r="C23" s="0" t="s">
        <v>127</v>
      </c>
      <c r="D23" s="0" t="s">
        <v>128</v>
      </c>
    </row>
    <row r="24" customFormat="false" ht="15" hidden="false" customHeight="false" outlineLevel="0" collapsed="false">
      <c r="A24" s="0" t="s">
        <v>25</v>
      </c>
      <c r="B24" s="0" t="s">
        <v>130</v>
      </c>
      <c r="C24" s="0" t="s">
        <v>131</v>
      </c>
    </row>
    <row r="25" customFormat="false" ht="15" hidden="false" customHeight="false" outlineLevel="0" collapsed="false">
      <c r="A25" s="0" t="s">
        <v>28</v>
      </c>
      <c r="B25" s="0" t="s">
        <v>130</v>
      </c>
      <c r="C25" s="0" t="s">
        <v>131</v>
      </c>
    </row>
    <row r="27" customFormat="false" ht="15" hidden="false" customHeight="false" outlineLevel="0" collapsed="false">
      <c r="A27" s="5" t="s">
        <v>132</v>
      </c>
      <c r="B27" s="5"/>
      <c r="C27" s="5"/>
    </row>
    <row r="28" customFormat="false" ht="15" hidden="false" customHeight="false" outlineLevel="0" collapsed="false">
      <c r="A28" s="0" t="s">
        <v>133</v>
      </c>
      <c r="B28" s="6" t="n">
        <v>250000</v>
      </c>
      <c r="C28" s="7" t="s">
        <v>134</v>
      </c>
    </row>
    <row r="29" customFormat="false" ht="15" hidden="false" customHeight="false" outlineLevel="0" collapsed="false">
      <c r="A29" s="0" t="s">
        <v>135</v>
      </c>
      <c r="B29" s="6" t="n">
        <v>30000</v>
      </c>
      <c r="C29" s="7" t="s">
        <v>136</v>
      </c>
    </row>
    <row r="30" customFormat="false" ht="15" hidden="false" customHeight="false" outlineLevel="0" collapsed="false">
      <c r="A30" s="0" t="s">
        <v>137</v>
      </c>
      <c r="B30" s="6" t="n">
        <v>80000</v>
      </c>
      <c r="C30" s="7" t="s">
        <v>138</v>
      </c>
    </row>
    <row r="31" customFormat="false" ht="15" hidden="false" customHeight="false" outlineLevel="0" collapsed="false">
      <c r="A31" s="0" t="s">
        <v>139</v>
      </c>
      <c r="B31" s="6" t="n">
        <v>30000</v>
      </c>
      <c r="C31" s="7" t="s">
        <v>140</v>
      </c>
    </row>
    <row r="32" customFormat="false" ht="15" hidden="false" customHeight="false" outlineLevel="0" collapsed="false">
      <c r="A32" s="0" t="s">
        <v>141</v>
      </c>
      <c r="B32" s="6" t="n">
        <v>110000</v>
      </c>
      <c r="C32" s="7" t="s">
        <v>142</v>
      </c>
    </row>
    <row r="34" customFormat="false" ht="15" hidden="false" customHeight="false" outlineLevel="0" collapsed="false">
      <c r="A34" s="5" t="s">
        <v>143</v>
      </c>
      <c r="B34" s="5"/>
      <c r="C34" s="5"/>
      <c r="D34" s="5"/>
    </row>
    <row r="35" customFormat="false" ht="15" hidden="false" customHeight="false" outlineLevel="0" collapsed="false">
      <c r="A35" s="9" t="s">
        <v>2</v>
      </c>
      <c r="B35" s="9" t="s">
        <v>144</v>
      </c>
      <c r="C35" s="9" t="s">
        <v>145</v>
      </c>
      <c r="D35" s="9" t="s">
        <v>121</v>
      </c>
    </row>
    <row r="36" customFormat="false" ht="15" hidden="false" customHeight="false" outlineLevel="0" collapsed="false">
      <c r="A36" s="0" t="s">
        <v>133</v>
      </c>
      <c r="B36" s="10" t="n">
        <v>1.25</v>
      </c>
      <c r="C36" s="10" t="n">
        <v>1.35</v>
      </c>
      <c r="D36" s="7" t="s">
        <v>146</v>
      </c>
    </row>
    <row r="37" customFormat="false" ht="15" hidden="false" customHeight="false" outlineLevel="0" collapsed="false">
      <c r="A37" s="0" t="s">
        <v>135</v>
      </c>
      <c r="B37" s="10" t="n">
        <v>1.25</v>
      </c>
      <c r="C37" s="10" t="n">
        <v>1.35</v>
      </c>
      <c r="D37" s="7" t="s">
        <v>147</v>
      </c>
    </row>
    <row r="38" customFormat="false" ht="15" hidden="false" customHeight="false" outlineLevel="0" collapsed="false">
      <c r="A38" s="0" t="s">
        <v>137</v>
      </c>
      <c r="B38" s="10" t="n">
        <v>1.25</v>
      </c>
      <c r="C38" s="10" t="n">
        <v>1.35</v>
      </c>
      <c r="D38" s="7" t="s">
        <v>148</v>
      </c>
    </row>
    <row r="39" customFormat="false" ht="15" hidden="false" customHeight="false" outlineLevel="0" collapsed="false">
      <c r="A39" s="0" t="s">
        <v>139</v>
      </c>
      <c r="B39" s="10" t="n">
        <v>5</v>
      </c>
      <c r="C39" s="10" t="n">
        <v>1.35</v>
      </c>
      <c r="D39" s="7" t="s">
        <v>149</v>
      </c>
    </row>
    <row r="40" customFormat="false" ht="15" hidden="false" customHeight="false" outlineLevel="0" collapsed="false">
      <c r="A40" s="0" t="s">
        <v>141</v>
      </c>
      <c r="B40" s="10" t="n">
        <v>1</v>
      </c>
      <c r="C40" s="10" t="n">
        <v>1.35</v>
      </c>
      <c r="D40" s="7" t="s">
        <v>150</v>
      </c>
    </row>
    <row r="41" customFormat="false" ht="15" hidden="false" customHeight="false" outlineLevel="0" collapsed="false">
      <c r="A41" s="0" t="s">
        <v>151</v>
      </c>
      <c r="B41" s="11" t="n">
        <v>0.1</v>
      </c>
      <c r="C41" s="11" t="n">
        <v>0.1</v>
      </c>
      <c r="D41" s="7" t="s">
        <v>152</v>
      </c>
    </row>
  </sheetData>
  <mergeCells count="5">
    <mergeCell ref="A4:C4"/>
    <mergeCell ref="A8:C8"/>
    <mergeCell ref="A18:D18"/>
    <mergeCell ref="A27:C27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6" min="3" style="0" width="15"/>
  </cols>
  <sheetData>
    <row r="1" customFormat="false" ht="17.35" hidden="false" customHeight="false" outlineLevel="0" collapsed="false">
      <c r="A1" s="3" t="s">
        <v>153</v>
      </c>
    </row>
    <row r="2" customFormat="false" ht="15" hidden="false" customHeight="false" outlineLevel="0" collapsed="false">
      <c r="A2" s="4" t="s">
        <v>154</v>
      </c>
    </row>
    <row r="4" customFormat="false" ht="15" hidden="false" customHeight="false" outlineLevel="0" collapsed="false">
      <c r="A4" s="1" t="s">
        <v>0</v>
      </c>
      <c r="B4" s="1" t="s">
        <v>2</v>
      </c>
      <c r="C4" s="1" t="s">
        <v>155</v>
      </c>
      <c r="D4" s="1" t="s">
        <v>156</v>
      </c>
      <c r="E4" s="1" t="s">
        <v>157</v>
      </c>
      <c r="F4" s="1" t="s">
        <v>158</v>
      </c>
    </row>
    <row r="5" customFormat="false" ht="15" hidden="false" customHeight="false" outlineLevel="0" collapsed="false">
      <c r="A5" s="9" t="s">
        <v>6</v>
      </c>
      <c r="B5" s="9" t="s">
        <v>8</v>
      </c>
      <c r="C5" s="9"/>
      <c r="D5" s="9"/>
      <c r="E5" s="9"/>
      <c r="F5" s="9"/>
    </row>
    <row r="6" customFormat="false" ht="15" hidden="false" customHeight="false" outlineLevel="0" collapsed="false">
      <c r="A6" s="0" t="s">
        <v>15</v>
      </c>
      <c r="B6" s="0" t="s">
        <v>159</v>
      </c>
      <c r="C6" s="6" t="n">
        <v>60000</v>
      </c>
      <c r="D6" s="6" t="n">
        <v>60000</v>
      </c>
      <c r="E6" s="6" t="n">
        <v>60000</v>
      </c>
      <c r="F6" s="12" t="n">
        <f aca="false">SUM(C6:E6)</f>
        <v>180000</v>
      </c>
    </row>
    <row r="7" customFormat="false" ht="15" hidden="false" customHeight="false" outlineLevel="0" collapsed="false">
      <c r="A7" s="0" t="s">
        <v>18</v>
      </c>
      <c r="B7" s="0" t="s">
        <v>160</v>
      </c>
      <c r="C7" s="6" t="n">
        <v>60000</v>
      </c>
      <c r="D7" s="6" t="n">
        <v>60000</v>
      </c>
      <c r="E7" s="6" t="n">
        <v>60000</v>
      </c>
      <c r="F7" s="12" t="n">
        <f aca="false">SUM(C7:E7)</f>
        <v>180000</v>
      </c>
    </row>
    <row r="8" customFormat="false" ht="15" hidden="false" customHeight="false" outlineLevel="0" collapsed="false">
      <c r="A8" s="0" t="s">
        <v>24</v>
      </c>
      <c r="B8" s="0" t="s">
        <v>161</v>
      </c>
      <c r="C8" s="6" t="n">
        <v>0</v>
      </c>
      <c r="D8" s="6" t="n">
        <v>187500</v>
      </c>
      <c r="E8" s="6" t="n">
        <v>187500</v>
      </c>
      <c r="F8" s="12" t="n">
        <f aca="false">SUM(C8:E8)</f>
        <v>375000</v>
      </c>
    </row>
    <row r="9" customFormat="false" ht="15" hidden="false" customHeight="false" outlineLevel="0" collapsed="false">
      <c r="A9" s="0" t="s">
        <v>27</v>
      </c>
      <c r="B9" s="0" t="s">
        <v>162</v>
      </c>
      <c r="C9" s="6" t="n">
        <v>0</v>
      </c>
      <c r="D9" s="6" t="n">
        <v>187500</v>
      </c>
      <c r="E9" s="6" t="n">
        <v>187500</v>
      </c>
      <c r="F9" s="12" t="n">
        <f aca="false">SUM(C9:E9)</f>
        <v>375000</v>
      </c>
    </row>
    <row r="10" customFormat="false" ht="15" hidden="false" customHeight="false" outlineLevel="0" collapsed="false">
      <c r="A10" s="0" t="s">
        <v>36</v>
      </c>
      <c r="B10" s="0" t="s">
        <v>163</v>
      </c>
      <c r="C10" s="6" t="n">
        <v>0</v>
      </c>
      <c r="D10" s="6" t="n">
        <v>72000</v>
      </c>
      <c r="E10" s="6" t="n">
        <v>72000</v>
      </c>
      <c r="F10" s="12" t="n">
        <f aca="false">SUM(C10:E10)</f>
        <v>144000</v>
      </c>
    </row>
    <row r="11" customFormat="false" ht="15" hidden="false" customHeight="false" outlineLevel="0" collapsed="false">
      <c r="A11" s="0" t="s">
        <v>38</v>
      </c>
      <c r="B11" s="0" t="s">
        <v>164</v>
      </c>
      <c r="C11" s="6" t="n">
        <v>0</v>
      </c>
      <c r="D11" s="6" t="n">
        <v>0</v>
      </c>
      <c r="E11" s="6" t="n">
        <v>162500</v>
      </c>
      <c r="F11" s="12" t="n">
        <f aca="false">SUM(C11:E11)</f>
        <v>162500</v>
      </c>
    </row>
    <row r="12" customFormat="false" ht="15" hidden="false" customHeight="false" outlineLevel="0" collapsed="false">
      <c r="A12" s="0" t="s">
        <v>30</v>
      </c>
      <c r="B12" s="0" t="s">
        <v>165</v>
      </c>
      <c r="C12" s="6" t="n">
        <v>0</v>
      </c>
      <c r="D12" s="6" t="n">
        <v>0</v>
      </c>
      <c r="E12" s="6" t="n">
        <v>200000</v>
      </c>
      <c r="F12" s="12" t="n">
        <f aca="false">SUM(C12:E12)</f>
        <v>200000</v>
      </c>
    </row>
    <row r="13" customFormat="false" ht="15" hidden="false" customHeight="false" outlineLevel="0" collapsed="false">
      <c r="A13" s="9"/>
      <c r="B13" s="9" t="s">
        <v>166</v>
      </c>
      <c r="C13" s="13" t="n">
        <f aca="false">SUM(C6:C12)</f>
        <v>120000</v>
      </c>
      <c r="D13" s="13" t="n">
        <f aca="false">SUM(D6:D12)</f>
        <v>567000</v>
      </c>
      <c r="E13" s="13" t="n">
        <f aca="false">SUM(E6:E12)</f>
        <v>929500</v>
      </c>
      <c r="F13" s="13" t="n">
        <f aca="false">SUM(C13:E13)</f>
        <v>1616500</v>
      </c>
    </row>
    <row r="15" customFormat="false" ht="15" hidden="false" customHeight="false" outlineLevel="0" collapsed="false">
      <c r="A15" s="9" t="s">
        <v>40</v>
      </c>
      <c r="B15" s="9" t="s">
        <v>41</v>
      </c>
      <c r="C15" s="13" t="n">
        <v>250000</v>
      </c>
      <c r="D15" s="13" t="n">
        <f aca="false">C15*1.25</f>
        <v>312500</v>
      </c>
      <c r="E15" s="13" t="n">
        <f aca="false">D15*1.35</f>
        <v>421875</v>
      </c>
      <c r="F15" s="13" t="n">
        <f aca="false">SUM(C15:E15)</f>
        <v>984375</v>
      </c>
    </row>
    <row r="16" customFormat="false" ht="15" hidden="false" customHeight="false" outlineLevel="0" collapsed="false">
      <c r="A16" s="9" t="s">
        <v>48</v>
      </c>
      <c r="B16" s="9" t="s">
        <v>49</v>
      </c>
      <c r="C16" s="13" t="n">
        <v>30000</v>
      </c>
      <c r="D16" s="13" t="n">
        <f aca="false">C16*1.25</f>
        <v>37500</v>
      </c>
      <c r="E16" s="13" t="n">
        <f aca="false">D16*1.35</f>
        <v>50625</v>
      </c>
      <c r="F16" s="13" t="n">
        <f aca="false">SUM(C16:E16)</f>
        <v>118125</v>
      </c>
    </row>
    <row r="17" customFormat="false" ht="15" hidden="false" customHeight="false" outlineLevel="0" collapsed="false">
      <c r="A17" s="9" t="s">
        <v>59</v>
      </c>
      <c r="B17" s="9" t="s">
        <v>60</v>
      </c>
      <c r="C17" s="13" t="n">
        <v>80000</v>
      </c>
      <c r="D17" s="13" t="n">
        <f aca="false">C17*1.25</f>
        <v>100000</v>
      </c>
      <c r="E17" s="13" t="n">
        <f aca="false">D17*1.35</f>
        <v>135000</v>
      </c>
      <c r="F17" s="13" t="n">
        <f aca="false">SUM(C17:E17)</f>
        <v>315000</v>
      </c>
    </row>
    <row r="18" customFormat="false" ht="15" hidden="false" customHeight="false" outlineLevel="0" collapsed="false">
      <c r="A18" s="9" t="s">
        <v>69</v>
      </c>
      <c r="B18" s="9" t="s">
        <v>70</v>
      </c>
      <c r="C18" s="13" t="n">
        <v>30000</v>
      </c>
      <c r="D18" s="13" t="n">
        <f aca="false">C18*5</f>
        <v>150000</v>
      </c>
      <c r="E18" s="13" t="n">
        <f aca="false">D18*1.35</f>
        <v>202500</v>
      </c>
      <c r="F18" s="13" t="n">
        <f aca="false">SUM(C18:E18)</f>
        <v>382500</v>
      </c>
    </row>
    <row r="19" customFormat="false" ht="15" hidden="false" customHeight="false" outlineLevel="0" collapsed="false">
      <c r="A19" s="9" t="s">
        <v>79</v>
      </c>
      <c r="B19" s="9" t="s">
        <v>80</v>
      </c>
      <c r="C19" s="13" t="n">
        <v>110000</v>
      </c>
      <c r="D19" s="13" t="n">
        <f aca="false">C19*1</f>
        <v>110000</v>
      </c>
      <c r="E19" s="13" t="n">
        <f aca="false">D19*1.35</f>
        <v>148500</v>
      </c>
      <c r="F19" s="13" t="n">
        <f aca="false">SUM(C19:E19)</f>
        <v>368500</v>
      </c>
    </row>
    <row r="20" customFormat="false" ht="15" hidden="false" customHeight="false" outlineLevel="0" collapsed="false">
      <c r="A20" s="9"/>
      <c r="B20" s="9" t="s">
        <v>167</v>
      </c>
      <c r="C20" s="13" t="n">
        <f aca="false">SUM(C15:C19)</f>
        <v>500000</v>
      </c>
      <c r="D20" s="13" t="n">
        <f aca="false">SUM(D15:D19)</f>
        <v>710000</v>
      </c>
      <c r="E20" s="13" t="n">
        <f aca="false">SUM(E15:E19)</f>
        <v>958500</v>
      </c>
      <c r="F20" s="13" t="n">
        <f aca="false">SUM(C20:E20)</f>
        <v>2168500</v>
      </c>
    </row>
    <row r="22" customFormat="false" ht="15" hidden="false" customHeight="false" outlineLevel="0" collapsed="false">
      <c r="A22" s="9"/>
      <c r="B22" s="9" t="s">
        <v>168</v>
      </c>
      <c r="C22" s="13" t="n">
        <f aca="false">C13+C20</f>
        <v>620000</v>
      </c>
      <c r="D22" s="13" t="n">
        <f aca="false">D13+D20</f>
        <v>1277000</v>
      </c>
      <c r="E22" s="13" t="n">
        <f aca="false">E13+E20</f>
        <v>1888000</v>
      </c>
      <c r="F22" s="13" t="n">
        <f aca="false">SUM(C22:E22)</f>
        <v>3785000</v>
      </c>
    </row>
    <row r="24" customFormat="false" ht="15" hidden="false" customHeight="false" outlineLevel="0" collapsed="false">
      <c r="A24" s="9" t="s">
        <v>93</v>
      </c>
      <c r="B24" s="9" t="s">
        <v>169</v>
      </c>
      <c r="C24" s="13" t="n">
        <f aca="false">C22*0.1</f>
        <v>62000</v>
      </c>
      <c r="D24" s="13" t="n">
        <f aca="false">D22*0.1</f>
        <v>127700</v>
      </c>
      <c r="E24" s="13" t="n">
        <f aca="false">E22*0.1</f>
        <v>188800</v>
      </c>
      <c r="F24" s="13" t="n">
        <f aca="false">SUM(C24:E24)</f>
        <v>378500</v>
      </c>
    </row>
    <row r="26" customFormat="false" ht="15" hidden="false" customHeight="false" outlineLevel="0" collapsed="false">
      <c r="A26" s="9"/>
      <c r="B26" s="9" t="s">
        <v>170</v>
      </c>
      <c r="C26" s="13" t="n">
        <f aca="false">C22+C24</f>
        <v>682000</v>
      </c>
      <c r="D26" s="13" t="n">
        <f aca="false">D22+D24</f>
        <v>1404700</v>
      </c>
      <c r="E26" s="13" t="n">
        <f aca="false">E22+E24</f>
        <v>2076800</v>
      </c>
      <c r="F26" s="13" t="n">
        <f aca="false">SUM(C26:E26)</f>
        <v>4163500</v>
      </c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</row>
    <row r="32" customFormat="false" ht="15" hidden="false" customHeight="false" outlineLevel="0" collapsed="false">
      <c r="A32" s="5" t="s">
        <v>171</v>
      </c>
      <c r="B32" s="5"/>
      <c r="C32" s="5"/>
      <c r="D32" s="5"/>
      <c r="E32" s="5"/>
      <c r="F32" s="5"/>
    </row>
    <row r="33" customFormat="false" ht="15" hidden="false" customHeight="false" outlineLevel="0" collapsed="false">
      <c r="A33" s="9" t="s">
        <v>172</v>
      </c>
      <c r="B33" s="9"/>
      <c r="C33" s="9" t="s">
        <v>155</v>
      </c>
      <c r="D33" s="9" t="s">
        <v>156</v>
      </c>
      <c r="E33" s="9" t="s">
        <v>157</v>
      </c>
    </row>
    <row r="34" customFormat="false" ht="15" hidden="false" customHeight="false" outlineLevel="0" collapsed="false">
      <c r="A34" s="0" t="s">
        <v>173</v>
      </c>
      <c r="B34" s="0" t="n">
        <v>2</v>
      </c>
      <c r="C34" s="15" t="n">
        <v>4.5</v>
      </c>
      <c r="D34" s="15" t="n">
        <v>6.5</v>
      </c>
    </row>
    <row r="35" customFormat="false" ht="15" hidden="false" customHeight="false" outlineLevel="0" collapsed="false">
      <c r="A35" s="0" t="s">
        <v>174</v>
      </c>
      <c r="B35" s="15" t="n">
        <f aca="false">C26/12</f>
        <v>56833.3333333333</v>
      </c>
      <c r="C35" s="15" t="n">
        <f aca="false">D26/12</f>
        <v>117058.333333333</v>
      </c>
      <c r="D35" s="15" t="n">
        <f aca="false">E26/12</f>
        <v>173066.666666667</v>
      </c>
    </row>
    <row r="36" customFormat="false" ht="15" hidden="false" customHeight="false" outlineLevel="0" collapsed="false">
      <c r="A36" s="0" t="s">
        <v>175</v>
      </c>
      <c r="B36" s="15" t="n">
        <f aca="false">C26</f>
        <v>682000</v>
      </c>
      <c r="C36" s="15" t="n">
        <f aca="false">C35+D26</f>
        <v>1521758.33333333</v>
      </c>
      <c r="D36" s="15" t="n">
        <f aca="false">D35+E26</f>
        <v>2249866.66666667</v>
      </c>
    </row>
  </sheetData>
  <mergeCells count="1"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16" min="4" style="0" width="10"/>
  </cols>
  <sheetData>
    <row r="1" customFormat="false" ht="17.35" hidden="false" customHeight="false" outlineLevel="0" collapsed="false">
      <c r="A1" s="3" t="s">
        <v>176</v>
      </c>
    </row>
    <row r="2" customFormat="false" ht="15" hidden="false" customHeight="false" outlineLevel="0" collapsed="false">
      <c r="A2" s="4" t="s">
        <v>177</v>
      </c>
    </row>
    <row r="4" customFormat="false" ht="15" hidden="false" customHeight="false" outlineLevel="0" collapsed="false">
      <c r="A4" s="1" t="s">
        <v>0</v>
      </c>
      <c r="B4" s="1" t="s">
        <v>2</v>
      </c>
      <c r="C4" s="1" t="s">
        <v>178</v>
      </c>
      <c r="D4" s="1" t="s">
        <v>43</v>
      </c>
      <c r="E4" s="1" t="s">
        <v>51</v>
      </c>
      <c r="F4" s="1" t="s">
        <v>62</v>
      </c>
      <c r="G4" s="1" t="s">
        <v>72</v>
      </c>
      <c r="H4" s="1" t="s">
        <v>82</v>
      </c>
      <c r="I4" s="1" t="s">
        <v>179</v>
      </c>
      <c r="J4" s="1" t="s">
        <v>180</v>
      </c>
      <c r="K4" s="1" t="s">
        <v>181</v>
      </c>
      <c r="L4" s="1" t="s">
        <v>182</v>
      </c>
      <c r="M4" s="1" t="s">
        <v>183</v>
      </c>
      <c r="N4" s="1" t="s">
        <v>184</v>
      </c>
      <c r="O4" s="1" t="s">
        <v>185</v>
      </c>
      <c r="P4" s="1" t="s">
        <v>186</v>
      </c>
    </row>
    <row r="5" customFormat="false" ht="15" hidden="false" customHeight="false" outlineLevel="0" collapsed="false">
      <c r="A5" s="0" t="s">
        <v>6</v>
      </c>
      <c r="B5" s="0" t="s">
        <v>8</v>
      </c>
    </row>
    <row r="6" customFormat="false" ht="15" hidden="false" customHeight="false" outlineLevel="0" collapsed="false">
      <c r="A6" s="0" t="s">
        <v>15</v>
      </c>
      <c r="B6" s="0" t="s">
        <v>159</v>
      </c>
      <c r="C6" s="6" t="n">
        <v>60000</v>
      </c>
      <c r="D6" s="12" t="n">
        <f aca="false">$C6/12</f>
        <v>5000</v>
      </c>
      <c r="E6" s="12" t="n">
        <f aca="false">$C6/12</f>
        <v>5000</v>
      </c>
      <c r="F6" s="12" t="n">
        <f aca="false">$C6/12</f>
        <v>5000</v>
      </c>
      <c r="G6" s="12" t="n">
        <f aca="false">$C6/12</f>
        <v>5000</v>
      </c>
      <c r="H6" s="12" t="n">
        <f aca="false">$C6/12</f>
        <v>5000</v>
      </c>
      <c r="I6" s="12" t="n">
        <f aca="false">$C6/12</f>
        <v>5000</v>
      </c>
      <c r="J6" s="12" t="n">
        <f aca="false">$C6/12</f>
        <v>5000</v>
      </c>
      <c r="K6" s="12" t="n">
        <f aca="false">$C6/12</f>
        <v>5000</v>
      </c>
      <c r="L6" s="12" t="n">
        <f aca="false">$C6/12</f>
        <v>5000</v>
      </c>
      <c r="M6" s="12" t="n">
        <f aca="false">$C6/12</f>
        <v>5000</v>
      </c>
      <c r="N6" s="12" t="n">
        <f aca="false">$C6/12</f>
        <v>5000</v>
      </c>
      <c r="O6" s="12" t="n">
        <f aca="false">$C6/12</f>
        <v>5000</v>
      </c>
      <c r="P6" s="12" t="n">
        <f aca="false">SUM(D6:O6)-C6</f>
        <v>0</v>
      </c>
    </row>
    <row r="7" customFormat="false" ht="15" hidden="false" customHeight="false" outlineLevel="0" collapsed="false">
      <c r="A7" s="0" t="s">
        <v>18</v>
      </c>
      <c r="B7" s="0" t="s">
        <v>160</v>
      </c>
      <c r="C7" s="6" t="n">
        <v>60000</v>
      </c>
      <c r="D7" s="12" t="n">
        <f aca="false">$C7/12</f>
        <v>5000</v>
      </c>
      <c r="E7" s="12" t="n">
        <f aca="false">$C7/12</f>
        <v>5000</v>
      </c>
      <c r="F7" s="12" t="n">
        <f aca="false">$C7/12</f>
        <v>5000</v>
      </c>
      <c r="G7" s="12" t="n">
        <f aca="false">$C7/12</f>
        <v>5000</v>
      </c>
      <c r="H7" s="12" t="n">
        <f aca="false">$C7/12</f>
        <v>5000</v>
      </c>
      <c r="I7" s="12" t="n">
        <f aca="false">$C7/12</f>
        <v>5000</v>
      </c>
      <c r="J7" s="12" t="n">
        <f aca="false">$C7/12</f>
        <v>5000</v>
      </c>
      <c r="K7" s="12" t="n">
        <f aca="false">$C7/12</f>
        <v>5000</v>
      </c>
      <c r="L7" s="12" t="n">
        <f aca="false">$C7/12</f>
        <v>5000</v>
      </c>
      <c r="M7" s="12" t="n">
        <f aca="false">$C7/12</f>
        <v>5000</v>
      </c>
      <c r="N7" s="12" t="n">
        <f aca="false">$C7/12</f>
        <v>5000</v>
      </c>
      <c r="O7" s="12" t="n">
        <f aca="false">$C7/12</f>
        <v>5000</v>
      </c>
      <c r="P7" s="12" t="n">
        <f aca="false">SUM(D7:O7)-C7</f>
        <v>0</v>
      </c>
    </row>
    <row r="8" customFormat="false" ht="15" hidden="false" customHeight="false" outlineLevel="0" collapsed="false">
      <c r="A8" s="9"/>
      <c r="B8" s="9" t="s">
        <v>166</v>
      </c>
      <c r="C8" s="13" t="n">
        <f aca="false">SUM(C6:C7)</f>
        <v>120000</v>
      </c>
      <c r="D8" s="13" t="n">
        <f aca="false">SUM(D6:D7)</f>
        <v>10000</v>
      </c>
      <c r="E8" s="13" t="n">
        <f aca="false">SUM(E6:E7)</f>
        <v>10000</v>
      </c>
      <c r="F8" s="13" t="n">
        <f aca="false">SUM(F6:F7)</f>
        <v>10000</v>
      </c>
      <c r="G8" s="13" t="n">
        <f aca="false">SUM(G6:G7)</f>
        <v>10000</v>
      </c>
      <c r="H8" s="13" t="n">
        <f aca="false">SUM(H6:H7)</f>
        <v>10000</v>
      </c>
      <c r="I8" s="13" t="n">
        <f aca="false">SUM(I6:I7)</f>
        <v>10000</v>
      </c>
      <c r="J8" s="13" t="n">
        <f aca="false">SUM(J6:J7)</f>
        <v>10000</v>
      </c>
      <c r="K8" s="13" t="n">
        <f aca="false">SUM(K6:K7)</f>
        <v>10000</v>
      </c>
      <c r="L8" s="13" t="n">
        <f aca="false">SUM(L6:L7)</f>
        <v>10000</v>
      </c>
      <c r="M8" s="13" t="n">
        <f aca="false">SUM(M6:M7)</f>
        <v>10000</v>
      </c>
      <c r="N8" s="13" t="n">
        <f aca="false">SUM(N6:N7)</f>
        <v>10000</v>
      </c>
      <c r="O8" s="13" t="n">
        <f aca="false">SUM(O6:O7)</f>
        <v>10000</v>
      </c>
      <c r="P8" s="13" t="n">
        <f aca="false">SUM(D8:O8)-C8</f>
        <v>0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6" t="n">
        <v>250000</v>
      </c>
      <c r="D10" s="12" t="n">
        <f aca="false">$C10/12</f>
        <v>20833.3333333333</v>
      </c>
      <c r="E10" s="12" t="n">
        <f aca="false">$C10/12</f>
        <v>20833.3333333333</v>
      </c>
      <c r="F10" s="12" t="n">
        <f aca="false">$C10/12</f>
        <v>20833.3333333333</v>
      </c>
      <c r="G10" s="12" t="n">
        <f aca="false">$C10/12</f>
        <v>20833.3333333333</v>
      </c>
      <c r="H10" s="12" t="n">
        <f aca="false">$C10/12</f>
        <v>20833.3333333333</v>
      </c>
      <c r="I10" s="12" t="n">
        <f aca="false">$C10/12</f>
        <v>20833.3333333333</v>
      </c>
      <c r="J10" s="12" t="n">
        <f aca="false">$C10/12</f>
        <v>20833.3333333333</v>
      </c>
      <c r="K10" s="12" t="n">
        <f aca="false">$C10/12</f>
        <v>20833.3333333333</v>
      </c>
      <c r="L10" s="12" t="n">
        <f aca="false">$C10/12</f>
        <v>20833.3333333333</v>
      </c>
      <c r="M10" s="12" t="n">
        <f aca="false">$C10/12</f>
        <v>20833.3333333333</v>
      </c>
      <c r="N10" s="12" t="n">
        <f aca="false">$C10/12</f>
        <v>20833.3333333333</v>
      </c>
      <c r="O10" s="12" t="n">
        <f aca="false">$C10/12</f>
        <v>20833.3333333333</v>
      </c>
      <c r="P10" s="12" t="n">
        <f aca="false">SUM(D10:O10)-C10</f>
        <v>0</v>
      </c>
    </row>
    <row r="11" customFormat="false" ht="15" hidden="false" customHeight="false" outlineLevel="0" collapsed="false">
      <c r="A11" s="0" t="s">
        <v>48</v>
      </c>
      <c r="B11" s="0" t="s">
        <v>49</v>
      </c>
      <c r="C11" s="6" t="n">
        <v>30000</v>
      </c>
      <c r="D11" s="12" t="n">
        <f aca="false">$C11/12</f>
        <v>2500</v>
      </c>
      <c r="E11" s="12" t="n">
        <f aca="false">$C11/12</f>
        <v>2500</v>
      </c>
      <c r="F11" s="12" t="n">
        <f aca="false">$C11/12</f>
        <v>2500</v>
      </c>
      <c r="G11" s="12" t="n">
        <f aca="false">$C11/12</f>
        <v>2500</v>
      </c>
      <c r="H11" s="12" t="n">
        <f aca="false">$C11/12</f>
        <v>2500</v>
      </c>
      <c r="I11" s="12" t="n">
        <f aca="false">$C11/12</f>
        <v>2500</v>
      </c>
      <c r="J11" s="12" t="n">
        <f aca="false">$C11/12</f>
        <v>2500</v>
      </c>
      <c r="K11" s="12" t="n">
        <f aca="false">$C11/12</f>
        <v>2500</v>
      </c>
      <c r="L11" s="12" t="n">
        <f aca="false">$C11/12</f>
        <v>2500</v>
      </c>
      <c r="M11" s="12" t="n">
        <f aca="false">$C11/12</f>
        <v>2500</v>
      </c>
      <c r="N11" s="12" t="n">
        <f aca="false">$C11/12</f>
        <v>2500</v>
      </c>
      <c r="O11" s="12" t="n">
        <f aca="false">$C11/12</f>
        <v>2500</v>
      </c>
      <c r="P11" s="12" t="n">
        <f aca="false">SUM(D11:O11)-C11</f>
        <v>0</v>
      </c>
    </row>
    <row r="12" customFormat="false" ht="15" hidden="false" customHeight="false" outlineLevel="0" collapsed="false">
      <c r="A12" s="0" t="s">
        <v>59</v>
      </c>
      <c r="B12" s="0" t="s">
        <v>187</v>
      </c>
      <c r="C12" s="6" t="n">
        <v>80000</v>
      </c>
      <c r="D12" s="12" t="n">
        <f aca="false">$C12/12</f>
        <v>6666.66666666667</v>
      </c>
      <c r="E12" s="12" t="n">
        <f aca="false">$C12/12</f>
        <v>6666.66666666667</v>
      </c>
      <c r="F12" s="12" t="n">
        <f aca="false">$C12/12</f>
        <v>6666.66666666667</v>
      </c>
      <c r="G12" s="12" t="n">
        <f aca="false">$C12/12</f>
        <v>6666.66666666667</v>
      </c>
      <c r="H12" s="12" t="n">
        <f aca="false">$C12/12</f>
        <v>6666.66666666667</v>
      </c>
      <c r="I12" s="12" t="n">
        <f aca="false">$C12/12</f>
        <v>6666.66666666667</v>
      </c>
      <c r="J12" s="12" t="n">
        <f aca="false">$C12/12</f>
        <v>6666.66666666667</v>
      </c>
      <c r="K12" s="12" t="n">
        <f aca="false">$C12/12</f>
        <v>6666.66666666667</v>
      </c>
      <c r="L12" s="12" t="n">
        <f aca="false">$C12/12</f>
        <v>6666.66666666667</v>
      </c>
      <c r="M12" s="12" t="n">
        <f aca="false">$C12/12</f>
        <v>6666.66666666667</v>
      </c>
      <c r="N12" s="12" t="n">
        <f aca="false">$C12/12</f>
        <v>6666.66666666667</v>
      </c>
      <c r="O12" s="12" t="n">
        <f aca="false">$C12/12</f>
        <v>6666.66666666667</v>
      </c>
      <c r="P12" s="12" t="n">
        <f aca="false">SUM(D12:O12)-C12</f>
        <v>0</v>
      </c>
    </row>
    <row r="13" customFormat="false" ht="15" hidden="false" customHeight="false" outlineLevel="0" collapsed="false">
      <c r="A13" s="0" t="s">
        <v>69</v>
      </c>
      <c r="B13" s="0" t="s">
        <v>70</v>
      </c>
      <c r="C13" s="6" t="n">
        <v>30000</v>
      </c>
      <c r="D13" s="12" t="n">
        <f aca="false">$C13/12</f>
        <v>2500</v>
      </c>
      <c r="E13" s="12" t="n">
        <f aca="false">$C13/12</f>
        <v>2500</v>
      </c>
      <c r="F13" s="12" t="n">
        <f aca="false">$C13/12</f>
        <v>2500</v>
      </c>
      <c r="G13" s="12" t="n">
        <f aca="false">$C13/12</f>
        <v>2500</v>
      </c>
      <c r="H13" s="12" t="n">
        <f aca="false">$C13/12</f>
        <v>2500</v>
      </c>
      <c r="I13" s="12" t="n">
        <f aca="false">$C13/12</f>
        <v>2500</v>
      </c>
      <c r="J13" s="12" t="n">
        <f aca="false">$C13/12</f>
        <v>2500</v>
      </c>
      <c r="K13" s="12" t="n">
        <f aca="false">$C13/12</f>
        <v>2500</v>
      </c>
      <c r="L13" s="12" t="n">
        <f aca="false">$C13/12</f>
        <v>2500</v>
      </c>
      <c r="M13" s="12" t="n">
        <f aca="false">$C13/12</f>
        <v>2500</v>
      </c>
      <c r="N13" s="12" t="n">
        <f aca="false">$C13/12</f>
        <v>2500</v>
      </c>
      <c r="O13" s="12" t="n">
        <f aca="false">$C13/12</f>
        <v>2500</v>
      </c>
      <c r="P13" s="12" t="n">
        <f aca="false">SUM(D13:O13)-C13</f>
        <v>0</v>
      </c>
    </row>
    <row r="14" customFormat="false" ht="15" hidden="false" customHeight="false" outlineLevel="0" collapsed="false">
      <c r="A14" s="0" t="s">
        <v>79</v>
      </c>
      <c r="B14" s="0" t="s">
        <v>80</v>
      </c>
      <c r="C14" s="6" t="n">
        <v>110000</v>
      </c>
      <c r="D14" s="12" t="n">
        <f aca="false">$C14/12</f>
        <v>9166.66666666667</v>
      </c>
      <c r="E14" s="12" t="n">
        <f aca="false">$C14/12</f>
        <v>9166.66666666667</v>
      </c>
      <c r="F14" s="12" t="n">
        <f aca="false">$C14/12</f>
        <v>9166.66666666667</v>
      </c>
      <c r="G14" s="12" t="n">
        <f aca="false">$C14/12</f>
        <v>9166.66666666667</v>
      </c>
      <c r="H14" s="12" t="n">
        <f aca="false">$C14/12</f>
        <v>9166.66666666667</v>
      </c>
      <c r="I14" s="12" t="n">
        <f aca="false">$C14/12</f>
        <v>9166.66666666667</v>
      </c>
      <c r="J14" s="12" t="n">
        <f aca="false">$C14/12</f>
        <v>9166.66666666667</v>
      </c>
      <c r="K14" s="12" t="n">
        <f aca="false">$C14/12</f>
        <v>9166.66666666667</v>
      </c>
      <c r="L14" s="12" t="n">
        <f aca="false">$C14/12</f>
        <v>9166.66666666667</v>
      </c>
      <c r="M14" s="12" t="n">
        <f aca="false">$C14/12</f>
        <v>9166.66666666667</v>
      </c>
      <c r="N14" s="12" t="n">
        <f aca="false">$C14/12</f>
        <v>9166.66666666667</v>
      </c>
      <c r="O14" s="12" t="n">
        <f aca="false">$C14/12</f>
        <v>9166.66666666667</v>
      </c>
      <c r="P14" s="12" t="n">
        <f aca="false">SUM(D14:O14)-C14</f>
        <v>0</v>
      </c>
    </row>
    <row r="15" customFormat="false" ht="15" hidden="false" customHeight="false" outlineLevel="0" collapsed="false">
      <c r="A15" s="9"/>
      <c r="B15" s="9" t="s">
        <v>167</v>
      </c>
      <c r="C15" s="13" t="n">
        <f aca="false">SUM(C10:C14)</f>
        <v>500000</v>
      </c>
      <c r="D15" s="13" t="n">
        <f aca="false">SUM(D10:D14)</f>
        <v>41666.6666666667</v>
      </c>
      <c r="E15" s="13" t="n">
        <f aca="false">SUM(E10:E14)</f>
        <v>41666.6666666667</v>
      </c>
      <c r="F15" s="13" t="n">
        <f aca="false">SUM(F10:F14)</f>
        <v>41666.6666666667</v>
      </c>
      <c r="G15" s="13" t="n">
        <f aca="false">SUM(G10:G14)</f>
        <v>41666.6666666667</v>
      </c>
      <c r="H15" s="13" t="n">
        <f aca="false">SUM(H10:H14)</f>
        <v>41666.6666666667</v>
      </c>
      <c r="I15" s="13" t="n">
        <f aca="false">SUM(I10:I14)</f>
        <v>41666.6666666667</v>
      </c>
      <c r="J15" s="13" t="n">
        <f aca="false">SUM(J10:J14)</f>
        <v>41666.6666666667</v>
      </c>
      <c r="K15" s="13" t="n">
        <f aca="false">SUM(K10:K14)</f>
        <v>41666.6666666667</v>
      </c>
      <c r="L15" s="13" t="n">
        <f aca="false">SUM(L10:L14)</f>
        <v>41666.6666666667</v>
      </c>
      <c r="M15" s="13" t="n">
        <f aca="false">SUM(M10:M14)</f>
        <v>41666.6666666667</v>
      </c>
      <c r="N15" s="13" t="n">
        <f aca="false">SUM(N10:N14)</f>
        <v>41666.6666666667</v>
      </c>
      <c r="O15" s="13" t="n">
        <f aca="false">SUM(O10:O14)</f>
        <v>41666.6666666667</v>
      </c>
      <c r="P15" s="13" t="n">
        <f aca="false">SUM(D15:O15)-C15</f>
        <v>0</v>
      </c>
    </row>
    <row r="17" customFormat="false" ht="15" hidden="false" customHeight="false" outlineLevel="0" collapsed="false">
      <c r="A17" s="9"/>
      <c r="B17" s="9" t="s">
        <v>188</v>
      </c>
      <c r="C17" s="13" t="n">
        <f aca="false">C8+C15</f>
        <v>620000</v>
      </c>
      <c r="D17" s="13" t="n">
        <f aca="false">D8+D15</f>
        <v>51666.6666666667</v>
      </c>
      <c r="E17" s="13" t="n">
        <f aca="false">E8+E15</f>
        <v>51666.6666666667</v>
      </c>
      <c r="F17" s="13" t="n">
        <f aca="false">F8+F15</f>
        <v>51666.6666666667</v>
      </c>
      <c r="G17" s="13" t="n">
        <f aca="false">G8+G15</f>
        <v>51666.6666666667</v>
      </c>
      <c r="H17" s="13" t="n">
        <f aca="false">H8+H15</f>
        <v>51666.6666666667</v>
      </c>
      <c r="I17" s="13" t="n">
        <f aca="false">I8+I15</f>
        <v>51666.6666666667</v>
      </c>
      <c r="J17" s="13" t="n">
        <f aca="false">J8+J15</f>
        <v>51666.6666666667</v>
      </c>
      <c r="K17" s="13" t="n">
        <f aca="false">K8+K15</f>
        <v>51666.6666666667</v>
      </c>
      <c r="L17" s="13" t="n">
        <f aca="false">L8+L15</f>
        <v>51666.6666666667</v>
      </c>
      <c r="M17" s="13" t="n">
        <f aca="false">M8+M15</f>
        <v>51666.6666666667</v>
      </c>
      <c r="N17" s="13" t="n">
        <f aca="false">N8+N15</f>
        <v>51666.6666666667</v>
      </c>
      <c r="O17" s="13" t="n">
        <f aca="false">O8+O15</f>
        <v>51666.6666666667</v>
      </c>
      <c r="P17" s="13" t="n">
        <f aca="false">SUM(D17:O17)-C17</f>
        <v>0</v>
      </c>
    </row>
    <row r="18" customFormat="false" ht="15" hidden="false" customHeight="false" outlineLevel="0" collapsed="false">
      <c r="A18" s="9" t="s">
        <v>93</v>
      </c>
      <c r="B18" s="9" t="s">
        <v>169</v>
      </c>
      <c r="C18" s="13" t="n">
        <f aca="false">C17*0.1</f>
        <v>62000</v>
      </c>
      <c r="D18" s="13" t="n">
        <f aca="false">D17*0.1</f>
        <v>5166.66666666667</v>
      </c>
      <c r="E18" s="13" t="n">
        <f aca="false">E17*0.1</f>
        <v>5166.66666666667</v>
      </c>
      <c r="F18" s="13" t="n">
        <f aca="false">F17*0.1</f>
        <v>5166.66666666667</v>
      </c>
      <c r="G18" s="13" t="n">
        <f aca="false">G17*0.1</f>
        <v>5166.66666666667</v>
      </c>
      <c r="H18" s="13" t="n">
        <f aca="false">H17*0.1</f>
        <v>5166.66666666667</v>
      </c>
      <c r="I18" s="13" t="n">
        <f aca="false">I17*0.1</f>
        <v>5166.66666666667</v>
      </c>
      <c r="J18" s="13" t="n">
        <f aca="false">J17*0.1</f>
        <v>5166.66666666667</v>
      </c>
      <c r="K18" s="13" t="n">
        <f aca="false">K17*0.1</f>
        <v>5166.66666666667</v>
      </c>
      <c r="L18" s="13" t="n">
        <f aca="false">L17*0.1</f>
        <v>5166.66666666667</v>
      </c>
      <c r="M18" s="13" t="n">
        <f aca="false">M17*0.1</f>
        <v>5166.66666666667</v>
      </c>
      <c r="N18" s="13" t="n">
        <f aca="false">N17*0.1</f>
        <v>5166.66666666667</v>
      </c>
      <c r="O18" s="13" t="n">
        <f aca="false">O17*0.1</f>
        <v>5166.66666666667</v>
      </c>
      <c r="P18" s="13" t="n">
        <f aca="false">SUM(D18:O18)-C18</f>
        <v>0</v>
      </c>
    </row>
    <row r="20" customFormat="false" ht="15" hidden="false" customHeight="false" outlineLevel="0" collapsed="false">
      <c r="A20" s="9"/>
      <c r="B20" s="9" t="s">
        <v>189</v>
      </c>
      <c r="C20" s="13" t="n">
        <f aca="false">C17+C18</f>
        <v>682000</v>
      </c>
      <c r="D20" s="13" t="n">
        <f aca="false">D17+D18</f>
        <v>56833.3333333333</v>
      </c>
      <c r="E20" s="13" t="n">
        <f aca="false">E17+E18</f>
        <v>56833.3333333333</v>
      </c>
      <c r="F20" s="13" t="n">
        <f aca="false">F17+F18</f>
        <v>56833.3333333333</v>
      </c>
      <c r="G20" s="13" t="n">
        <f aca="false">G17+G18</f>
        <v>56833.3333333333</v>
      </c>
      <c r="H20" s="13" t="n">
        <f aca="false">H17+H18</f>
        <v>56833.3333333333</v>
      </c>
      <c r="I20" s="13" t="n">
        <f aca="false">I17+I18</f>
        <v>56833.3333333333</v>
      </c>
      <c r="J20" s="13" t="n">
        <f aca="false">J17+J18</f>
        <v>56833.3333333333</v>
      </c>
      <c r="K20" s="13" t="n">
        <f aca="false">K17+K18</f>
        <v>56833.3333333333</v>
      </c>
      <c r="L20" s="13" t="n">
        <f aca="false">L17+L18</f>
        <v>56833.3333333333</v>
      </c>
      <c r="M20" s="13" t="n">
        <f aca="false">M17+M18</f>
        <v>56833.3333333333</v>
      </c>
      <c r="N20" s="13" t="n">
        <f aca="false">N17+N18</f>
        <v>56833.3333333333</v>
      </c>
      <c r="O20" s="13" t="n">
        <f aca="false">O17+O18</f>
        <v>56833.3333333333</v>
      </c>
      <c r="P20" s="13" t="n">
        <f aca="false">SUM(D20:O20)-C20</f>
        <v>0</v>
      </c>
    </row>
    <row r="22" customFormat="false" ht="15" hidden="false" customHeight="false" outlineLevel="0" collapsed="false">
      <c r="A22" s="9"/>
      <c r="B22" s="9" t="s">
        <v>190</v>
      </c>
      <c r="C22" s="9"/>
      <c r="D22" s="13" t="n">
        <f aca="false">D20</f>
        <v>56833.3333333333</v>
      </c>
      <c r="E22" s="13" t="n">
        <f aca="false">D22+E20</f>
        <v>113666.666666667</v>
      </c>
      <c r="F22" s="13" t="n">
        <f aca="false">E22+F20</f>
        <v>170500</v>
      </c>
      <c r="G22" s="13" t="n">
        <f aca="false">F22+G20</f>
        <v>227333.333333333</v>
      </c>
      <c r="H22" s="13" t="n">
        <f aca="false">G22+H20</f>
        <v>284166.666666667</v>
      </c>
      <c r="I22" s="13" t="n">
        <f aca="false">H22+I20</f>
        <v>341000</v>
      </c>
      <c r="J22" s="13" t="n">
        <f aca="false">I22+J20</f>
        <v>397833.333333333</v>
      </c>
      <c r="K22" s="13" t="n">
        <f aca="false">J22+K20</f>
        <v>454666.666666667</v>
      </c>
      <c r="L22" s="13" t="n">
        <f aca="false">K22+L20</f>
        <v>511500</v>
      </c>
      <c r="M22" s="13" t="n">
        <f aca="false">L22+M20</f>
        <v>568333.333333333</v>
      </c>
      <c r="N22" s="13" t="n">
        <f aca="false">M22+N20</f>
        <v>625166.666666667</v>
      </c>
      <c r="O22" s="13" t="n">
        <f aca="false">N22+O20</f>
        <v>682000</v>
      </c>
      <c r="P22" s="9"/>
    </row>
    <row r="23" customFormat="false" ht="15" hidden="false" customHeight="false" outlineLevel="0" collapsed="false">
      <c r="A23" s="9"/>
      <c r="B23" s="9" t="s">
        <v>191</v>
      </c>
      <c r="C23" s="9"/>
      <c r="D23" s="13" t="n">
        <f aca="false">1000000-D22</f>
        <v>943166.666666667</v>
      </c>
      <c r="E23" s="13" t="n">
        <f aca="false">1000000-E22</f>
        <v>886333.333333333</v>
      </c>
      <c r="F23" s="13" t="n">
        <f aca="false">1000000-F22</f>
        <v>829500</v>
      </c>
      <c r="G23" s="13" t="n">
        <f aca="false">1000000-G22</f>
        <v>772666.666666667</v>
      </c>
      <c r="H23" s="13" t="n">
        <f aca="false">1000000-H22</f>
        <v>715833.333333333</v>
      </c>
      <c r="I23" s="13" t="n">
        <f aca="false">1000000-I22</f>
        <v>659000</v>
      </c>
      <c r="J23" s="13" t="n">
        <f aca="false">1000000-J22</f>
        <v>602166.666666667</v>
      </c>
      <c r="K23" s="13" t="n">
        <f aca="false">1000000-K22</f>
        <v>545333.333333334</v>
      </c>
      <c r="L23" s="13" t="n">
        <f aca="false">1000000-L22</f>
        <v>488500</v>
      </c>
      <c r="M23" s="13" t="n">
        <f aca="false">1000000-M22</f>
        <v>431666.666666667</v>
      </c>
      <c r="N23" s="13" t="n">
        <f aca="false">1000000-N22</f>
        <v>374833.333333333</v>
      </c>
      <c r="O23" s="13" t="n">
        <f aca="false">1000000-O22</f>
        <v>318000</v>
      </c>
      <c r="P23" s="9"/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FA66E6AB50634AA37CE2DBFB0A2880" ma:contentTypeVersion="11" ma:contentTypeDescription="Create a new document." ma:contentTypeScope="" ma:versionID="471073d9c9c728f32ee7c1c9acece40d">
  <xsd:schema xmlns:xsd="http://www.w3.org/2001/XMLSchema" xmlns:xs="http://www.w3.org/2001/XMLSchema" xmlns:p="http://schemas.microsoft.com/office/2006/metadata/properties" xmlns:ns2="0108d213-a36a-4e56-a909-b1d654fbaed6" xmlns:ns3="594f18b1-2819-4681-80e7-d93f25f61b83" targetNamespace="http://schemas.microsoft.com/office/2006/metadata/properties" ma:root="true" ma:fieldsID="d07b8eca45bee2f58f0a7c5d98efdf90" ns2:_="" ns3:_="">
    <xsd:import namespace="0108d213-a36a-4e56-a909-b1d654fbaed6"/>
    <xsd:import namespace="594f18b1-2819-4681-80e7-d93f25f61b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08d213-a36a-4e56-a909-b1d654fbae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e0aedea-3123-498c-890c-0b3a4c50d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f18b1-2819-4681-80e7-d93f25f61b8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ce5e670-fd73-4bb5-b8c0-062e2e27b741}" ma:internalName="TaxCatchAll" ma:showField="CatchAllData" ma:web="594f18b1-2819-4681-80e7-d93f25f61b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4f18b1-2819-4681-80e7-d93f25f61b83" xsi:nil="true"/>
    <lcf76f155ced4ddcb4097134ff3c332f xmlns="0108d213-a36a-4e56-a909-b1d654fbae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3CC80E-0C1F-4A06-905B-A512DEADC1F2}"/>
</file>

<file path=customXml/itemProps2.xml><?xml version="1.0" encoding="utf-8"?>
<ds:datastoreItem xmlns:ds="http://schemas.openxmlformats.org/officeDocument/2006/customXml" ds:itemID="{BDD23525-6FD5-47D5-BB64-25691E8ECEBA}"/>
</file>

<file path=customXml/itemProps3.xml><?xml version="1.0" encoding="utf-8"?>
<ds:datastoreItem xmlns:ds="http://schemas.openxmlformats.org/officeDocument/2006/customXml" ds:itemID="{8F066734-8749-4D95-9DFB-2880B466F48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2026-01-26T17:35:32Z</dcterms:created>
  <dcterms:modified xsi:type="dcterms:W3CDTF">2026-01-26T17:35:32Z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0x01010081FA66E6AB50634AA37CE2DBFB0A2880</vt:lpwstr>
  </property>
</Properties>
</file>